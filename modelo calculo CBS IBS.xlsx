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reis\projetos\calculadora-reforma\"/>
    </mc:Choice>
  </mc:AlternateContent>
  <xr:revisionPtr revIDLastSave="0" documentId="8_{671B68D5-D345-40A9-BD4B-0817076568BA}" xr6:coauthVersionLast="47" xr6:coauthVersionMax="47" xr10:uidLastSave="{00000000-0000-0000-0000-000000000000}"/>
  <bookViews>
    <workbookView xWindow="-135" yWindow="-135" windowWidth="29070" windowHeight="15750" xr2:uid="{2A1053E5-F383-4069-AEB6-B020C23A792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" i="1" l="1"/>
  <c r="U19" i="1" s="1"/>
  <c r="W19" i="1" s="1"/>
  <c r="R13" i="1"/>
  <c r="U13" i="1" s="1"/>
  <c r="W13" i="1" s="1"/>
  <c r="W8" i="1"/>
  <c r="U8" i="1"/>
  <c r="T8" i="1"/>
  <c r="R8" i="1"/>
  <c r="T19" i="1" l="1"/>
  <c r="T13" i="1"/>
  <c r="F3" i="1"/>
  <c r="H3" i="1" s="1"/>
  <c r="L3" i="1" s="1"/>
  <c r="N3" i="1" s="1"/>
  <c r="E19" i="1"/>
  <c r="F19" i="1" s="1"/>
  <c r="E13" i="1"/>
  <c r="F13" i="1" s="1"/>
  <c r="H13" i="1" s="1"/>
  <c r="O13" i="1" s="1"/>
  <c r="Q13" i="1" s="1"/>
  <c r="E8" i="1"/>
  <c r="F8" i="1" s="1"/>
  <c r="H8" i="1" s="1"/>
  <c r="O8" i="1" s="1"/>
  <c r="Q8" i="1" s="1"/>
  <c r="H19" i="1" l="1"/>
  <c r="L19" i="1" s="1"/>
  <c r="N19" i="1" s="1"/>
  <c r="L8" i="1"/>
  <c r="N8" i="1" s="1"/>
  <c r="L13" i="1"/>
  <c r="N13" i="1" s="1"/>
  <c r="O3" i="1"/>
  <c r="Q3" i="1" s="1"/>
  <c r="O19" i="1" l="1"/>
  <c r="Q19" i="1" s="1"/>
</calcChain>
</file>

<file path=xl/sharedStrings.xml><?xml version="1.0" encoding="utf-8"?>
<sst xmlns="http://schemas.openxmlformats.org/spreadsheetml/2006/main" count="104" uniqueCount="26">
  <si>
    <t>PRODUTO</t>
  </si>
  <si>
    <t>NCM</t>
  </si>
  <si>
    <t>BC PIS</t>
  </si>
  <si>
    <t>ALIQ PIS</t>
  </si>
  <si>
    <t>VALOR PIS</t>
  </si>
  <si>
    <t>BC COFINS</t>
  </si>
  <si>
    <t>ALIQ COFINS</t>
  </si>
  <si>
    <t>VALOR COFINS</t>
  </si>
  <si>
    <t>BC ICMS</t>
  </si>
  <si>
    <t>VALOR PRODUTO</t>
  </si>
  <si>
    <t>ALIQUOTA ICMS</t>
  </si>
  <si>
    <t>VALOR ICMS</t>
  </si>
  <si>
    <t>BC ICMS ST</t>
  </si>
  <si>
    <t>ALIQ ICMS ST</t>
  </si>
  <si>
    <t>VALOR ICMS ST</t>
  </si>
  <si>
    <t>X</t>
  </si>
  <si>
    <t>8523.00.00</t>
  </si>
  <si>
    <t>ORIG</t>
  </si>
  <si>
    <t>CST</t>
  </si>
  <si>
    <t>00</t>
  </si>
  <si>
    <t>BC CBS</t>
  </si>
  <si>
    <t>ALIQ CBS</t>
  </si>
  <si>
    <t>VALOR CBS</t>
  </si>
  <si>
    <t>BC IBS</t>
  </si>
  <si>
    <t>ALIQ IBS</t>
  </si>
  <si>
    <t>VALOR IBS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</si>
</sst>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44" fontId="0" fillId="0" borderId="0" xfId="1" applyFont="1"/>
    <xf numFmtId="44" fontId="0" fillId="0" borderId="0" xfId="0" applyNumberFormat="1"/>
    <xf numFmtId="10" fontId="0" fillId="0" borderId="0" xfId="0" applyNumberFormat="1"/>
    <xf numFmtId="0" fontId="0" fillId="0" borderId="0" xfId="0" quotePrefix="1"/>
    <xf numFmtId="0" fontId="0" fillId="2" borderId="0" xfId="0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67ADF-DC47-4E04-B468-F1E03D896C05}">
  <dimension ref="A1:W19"/>
  <sheetViews>
    <sheetView tabSelected="1" zoomScale="85" zoomScaleNormal="85" workbookViewId="0">
      <selection activeCell="V20" sqref="V20"/>
    </sheetView>
  </sheetViews>
  <sheetFormatPr defaultRowHeight="15" x14ac:dyDescent="0.25"/>
  <cols>
    <col min="1" max="1" width="9.7109375" bestFit="1" customWidth="1"/>
    <col min="2" max="2" width="5.5703125" bestFit="1" customWidth="1"/>
    <col min="3" max="3" width="4.28515625" bestFit="1" customWidth="1"/>
    <col min="4" max="4" width="10.28515625" bestFit="1" customWidth="1"/>
    <col min="5" max="5" width="16" bestFit="1" customWidth="1"/>
    <col min="6" max="6" width="10.5703125" bestFit="1" customWidth="1"/>
    <col min="7" max="7" width="14.7109375" bestFit="1" customWidth="1"/>
    <col min="8" max="8" width="11.42578125" bestFit="1" customWidth="1"/>
    <col min="9" max="9" width="10.5703125" bestFit="1" customWidth="1"/>
    <col min="10" max="10" width="12.140625" bestFit="1" customWidth="1"/>
    <col min="11" max="11" width="14" bestFit="1" customWidth="1"/>
    <col min="12" max="12" width="10.5703125" bestFit="1" customWidth="1"/>
    <col min="13" max="13" width="8.140625" bestFit="1" customWidth="1"/>
    <col min="14" max="14" width="9.85546875" bestFit="1" customWidth="1"/>
    <col min="15" max="15" width="10.5703125" bestFit="1" customWidth="1"/>
    <col min="16" max="16" width="12" bestFit="1" customWidth="1"/>
    <col min="17" max="17" width="13.85546875" bestFit="1" customWidth="1"/>
    <col min="18" max="18" width="10.5703125" bestFit="1" customWidth="1"/>
    <col min="19" max="19" width="8.7109375" bestFit="1" customWidth="1"/>
    <col min="20" max="20" width="10.42578125" bestFit="1" customWidth="1"/>
    <col min="21" max="21" width="10.5703125" bestFit="1" customWidth="1"/>
    <col min="22" max="22" width="8.140625" bestFit="1" customWidth="1"/>
    <col min="23" max="23" width="9.85546875" bestFit="1" customWidth="1"/>
  </cols>
  <sheetData>
    <row r="1" spans="1:23" x14ac:dyDescent="0.25">
      <c r="A1">
        <v>2025</v>
      </c>
    </row>
    <row r="2" spans="1:23" x14ac:dyDescent="0.25">
      <c r="A2" t="s">
        <v>0</v>
      </c>
      <c r="B2" t="s">
        <v>17</v>
      </c>
      <c r="C2" t="s">
        <v>18</v>
      </c>
      <c r="D2" t="s">
        <v>1</v>
      </c>
      <c r="E2" t="s">
        <v>9</v>
      </c>
      <c r="F2" t="s">
        <v>8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6" t="s">
        <v>20</v>
      </c>
      <c r="S2" s="6" t="s">
        <v>21</v>
      </c>
      <c r="T2" s="6" t="s">
        <v>22</v>
      </c>
      <c r="U2" s="6" t="s">
        <v>23</v>
      </c>
      <c r="V2" s="6" t="s">
        <v>24</v>
      </c>
      <c r="W2" s="6" t="s">
        <v>25</v>
      </c>
    </row>
    <row r="3" spans="1:23" x14ac:dyDescent="0.25">
      <c r="A3" t="s">
        <v>15</v>
      </c>
      <c r="B3">
        <v>2</v>
      </c>
      <c r="C3" s="5" t="s">
        <v>19</v>
      </c>
      <c r="D3" t="s">
        <v>16</v>
      </c>
      <c r="E3">
        <v>384.93</v>
      </c>
      <c r="F3" s="2">
        <f>E3</f>
        <v>384.93</v>
      </c>
      <c r="G3" s="1">
        <v>0.04</v>
      </c>
      <c r="H3" s="2">
        <f>F3*G3</f>
        <v>15.3972</v>
      </c>
      <c r="I3" s="2">
        <v>0</v>
      </c>
      <c r="J3" s="2">
        <v>0</v>
      </c>
      <c r="K3" s="2">
        <v>0</v>
      </c>
      <c r="L3" s="3">
        <f>F3-H3</f>
        <v>369.53280000000001</v>
      </c>
      <c r="M3" s="4">
        <v>1.6500000000000001E-2</v>
      </c>
      <c r="N3" s="3">
        <f>L3*M3</f>
        <v>6.0972912000000008</v>
      </c>
      <c r="O3" s="3">
        <f>F3-H3</f>
        <v>369.53280000000001</v>
      </c>
      <c r="P3" s="4">
        <v>7.5999999999999998E-2</v>
      </c>
      <c r="Q3" s="3">
        <f>O3*P3</f>
        <v>28.0844928</v>
      </c>
    </row>
    <row r="6" spans="1:23" x14ac:dyDescent="0.25">
      <c r="A6">
        <v>2026</v>
      </c>
    </row>
    <row r="7" spans="1:23" x14ac:dyDescent="0.25">
      <c r="A7" t="s">
        <v>0</v>
      </c>
      <c r="B7" t="s">
        <v>17</v>
      </c>
      <c r="C7" t="s">
        <v>18</v>
      </c>
      <c r="D7" t="s">
        <v>1</v>
      </c>
      <c r="E7" t="s">
        <v>9</v>
      </c>
      <c r="F7" t="s">
        <v>8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2</v>
      </c>
      <c r="M7" t="s">
        <v>3</v>
      </c>
      <c r="N7" t="s">
        <v>4</v>
      </c>
      <c r="O7" t="s">
        <v>5</v>
      </c>
      <c r="P7" t="s">
        <v>6</v>
      </c>
      <c r="Q7" t="s">
        <v>7</v>
      </c>
      <c r="R7" s="6" t="s">
        <v>20</v>
      </c>
      <c r="S7" s="6" t="s">
        <v>21</v>
      </c>
      <c r="T7" s="6" t="s">
        <v>22</v>
      </c>
      <c r="U7" s="6" t="s">
        <v>23</v>
      </c>
      <c r="V7" s="6" t="s">
        <v>24</v>
      </c>
      <c r="W7" s="6" t="s">
        <v>25</v>
      </c>
    </row>
    <row r="8" spans="1:23" x14ac:dyDescent="0.25">
      <c r="A8" t="s">
        <v>15</v>
      </c>
      <c r="B8">
        <v>2</v>
      </c>
      <c r="C8" s="5" t="s">
        <v>19</v>
      </c>
      <c r="D8" t="s">
        <v>16</v>
      </c>
      <c r="E8">
        <f>E3</f>
        <v>384.93</v>
      </c>
      <c r="F8" s="2">
        <f>E8</f>
        <v>384.93</v>
      </c>
      <c r="G8" s="1">
        <v>0.04</v>
      </c>
      <c r="H8" s="2">
        <f>F8*G8</f>
        <v>15.3972</v>
      </c>
      <c r="I8" s="2">
        <v>0</v>
      </c>
      <c r="J8" s="2">
        <v>0</v>
      </c>
      <c r="K8" s="2">
        <v>0</v>
      </c>
      <c r="L8" s="3">
        <f>F8-H8</f>
        <v>369.53280000000001</v>
      </c>
      <c r="M8" s="4">
        <v>1.6500000000000001E-2</v>
      </c>
      <c r="N8" s="3">
        <f>L8*M8</f>
        <v>6.0972912000000008</v>
      </c>
      <c r="O8" s="3">
        <f>F8-H8</f>
        <v>369.53280000000001</v>
      </c>
      <c r="P8" s="4">
        <v>7.5999999999999998E-2</v>
      </c>
      <c r="Q8" s="3">
        <f>O8*P8</f>
        <v>28.0844928</v>
      </c>
      <c r="R8" s="3">
        <f>E8-H8-N8-Q8</f>
        <v>335.35101599999996</v>
      </c>
      <c r="S8" s="4">
        <v>8.9999999999999993E-3</v>
      </c>
      <c r="T8" s="3">
        <f>R8*S8</f>
        <v>3.0181591439999993</v>
      </c>
      <c r="U8" s="3">
        <f>R8</f>
        <v>335.35101599999996</v>
      </c>
      <c r="V8" s="4">
        <v>1E-3</v>
      </c>
      <c r="W8" s="3">
        <f>U8*V8</f>
        <v>0.33535101599999995</v>
      </c>
    </row>
    <row r="11" spans="1:23" x14ac:dyDescent="0.25">
      <c r="A11">
        <v>2027</v>
      </c>
    </row>
    <row r="12" spans="1:23" x14ac:dyDescent="0.25">
      <c r="A12" t="s">
        <v>0</v>
      </c>
      <c r="B12" t="s">
        <v>17</v>
      </c>
      <c r="C12" t="s">
        <v>18</v>
      </c>
      <c r="D12" t="s">
        <v>1</v>
      </c>
      <c r="E12" t="s">
        <v>9</v>
      </c>
      <c r="F12" t="s">
        <v>8</v>
      </c>
      <c r="G12" t="s">
        <v>10</v>
      </c>
      <c r="H12" t="s">
        <v>11</v>
      </c>
      <c r="I12" t="s">
        <v>12</v>
      </c>
      <c r="J12" t="s">
        <v>13</v>
      </c>
      <c r="K12" t="s">
        <v>14</v>
      </c>
      <c r="L12" t="s">
        <v>2</v>
      </c>
      <c r="M12" t="s">
        <v>3</v>
      </c>
      <c r="N12" t="s">
        <v>4</v>
      </c>
      <c r="O12" t="s">
        <v>5</v>
      </c>
      <c r="P12" t="s">
        <v>6</v>
      </c>
      <c r="Q12" t="s">
        <v>7</v>
      </c>
      <c r="R12" s="6" t="s">
        <v>20</v>
      </c>
      <c r="S12" s="6" t="s">
        <v>21</v>
      </c>
      <c r="T12" s="6" t="s">
        <v>22</v>
      </c>
      <c r="U12" s="6" t="s">
        <v>23</v>
      </c>
      <c r="V12" s="6" t="s">
        <v>24</v>
      </c>
      <c r="W12" s="6" t="s">
        <v>25</v>
      </c>
    </row>
    <row r="13" spans="1:23" x14ac:dyDescent="0.25">
      <c r="A13" t="s">
        <v>15</v>
      </c>
      <c r="B13">
        <v>2</v>
      </c>
      <c r="C13" s="5" t="s">
        <v>19</v>
      </c>
      <c r="D13" t="s">
        <v>16</v>
      </c>
      <c r="E13">
        <f>E3</f>
        <v>384.93</v>
      </c>
      <c r="F13" s="2">
        <f>E13</f>
        <v>384.93</v>
      </c>
      <c r="G13" s="1">
        <v>0.04</v>
      </c>
      <c r="H13" s="2">
        <f>F13*G13</f>
        <v>15.3972</v>
      </c>
      <c r="I13" s="2">
        <v>0</v>
      </c>
      <c r="J13" s="2">
        <v>0</v>
      </c>
      <c r="K13" s="2">
        <v>0</v>
      </c>
      <c r="L13" s="3">
        <f>F13-H13</f>
        <v>369.53280000000001</v>
      </c>
      <c r="M13" s="4">
        <v>1.6500000000000001E-2</v>
      </c>
      <c r="N13" s="3">
        <f>L13*M13</f>
        <v>6.0972912000000008</v>
      </c>
      <c r="O13" s="3">
        <f>F13-H13</f>
        <v>369.53280000000001</v>
      </c>
      <c r="P13" s="4">
        <v>7.5999999999999998E-2</v>
      </c>
      <c r="Q13" s="3">
        <f>O13*P13</f>
        <v>28.0844928</v>
      </c>
      <c r="R13" s="3">
        <f>E13-H13-N13-Q13</f>
        <v>335.35101599999996</v>
      </c>
      <c r="S13" s="4">
        <v>8.7999999999999995E-2</v>
      </c>
      <c r="T13" s="3">
        <f>R13*S13</f>
        <v>29.510889407999993</v>
      </c>
      <c r="U13" s="3">
        <f>R13</f>
        <v>335.35101599999996</v>
      </c>
      <c r="V13" s="4">
        <v>1E-3</v>
      </c>
      <c r="W13" s="3">
        <f>U13*V13</f>
        <v>0.33535101599999995</v>
      </c>
    </row>
    <row r="17" spans="1:23" x14ac:dyDescent="0.25">
      <c r="A17">
        <v>2028</v>
      </c>
    </row>
    <row r="18" spans="1:23" x14ac:dyDescent="0.25">
      <c r="A18" t="s">
        <v>0</v>
      </c>
      <c r="B18" t="s">
        <v>17</v>
      </c>
      <c r="C18" t="s">
        <v>18</v>
      </c>
      <c r="D18" t="s">
        <v>1</v>
      </c>
      <c r="E18" t="s">
        <v>9</v>
      </c>
      <c r="F18" t="s">
        <v>8</v>
      </c>
      <c r="G18" t="s">
        <v>10</v>
      </c>
      <c r="H18" t="s">
        <v>11</v>
      </c>
      <c r="I18" t="s">
        <v>12</v>
      </c>
      <c r="J18" t="s">
        <v>13</v>
      </c>
      <c r="K18" t="s">
        <v>14</v>
      </c>
      <c r="L18" t="s">
        <v>2</v>
      </c>
      <c r="M18" t="s">
        <v>3</v>
      </c>
      <c r="N18" t="s">
        <v>4</v>
      </c>
      <c r="O18" t="s">
        <v>5</v>
      </c>
      <c r="P18" t="s">
        <v>6</v>
      </c>
      <c r="Q18" t="s">
        <v>7</v>
      </c>
      <c r="R18" s="6" t="s">
        <v>20</v>
      </c>
      <c r="S18" s="6" t="s">
        <v>21</v>
      </c>
      <c r="T18" s="6" t="s">
        <v>22</v>
      </c>
      <c r="U18" s="6" t="s">
        <v>23</v>
      </c>
      <c r="V18" s="6" t="s">
        <v>24</v>
      </c>
      <c r="W18" s="6" t="s">
        <v>25</v>
      </c>
    </row>
    <row r="19" spans="1:23" x14ac:dyDescent="0.25">
      <c r="A19" t="s">
        <v>15</v>
      </c>
      <c r="B19">
        <v>2</v>
      </c>
      <c r="C19" s="5" t="s">
        <v>19</v>
      </c>
      <c r="D19" t="s">
        <v>16</v>
      </c>
      <c r="E19">
        <f>E3</f>
        <v>384.93</v>
      </c>
      <c r="F19" s="2">
        <f>E19</f>
        <v>384.93</v>
      </c>
      <c r="G19" s="1">
        <v>0.04</v>
      </c>
      <c r="H19" s="2">
        <f>F19*G19</f>
        <v>15.3972</v>
      </c>
      <c r="I19" s="2">
        <v>0</v>
      </c>
      <c r="J19" s="2">
        <v>0</v>
      </c>
      <c r="K19" s="2">
        <v>0</v>
      </c>
      <c r="L19" s="3">
        <f>F19-H19</f>
        <v>369.53280000000001</v>
      </c>
      <c r="M19" s="4">
        <v>1.6500000000000001E-2</v>
      </c>
      <c r="N19" s="3">
        <f>L19*M19</f>
        <v>6.0972912000000008</v>
      </c>
      <c r="O19" s="3">
        <f>F19-H19</f>
        <v>369.53280000000001</v>
      </c>
      <c r="P19" s="4">
        <v>7.5999999999999998E-2</v>
      </c>
      <c r="Q19" s="3">
        <f>O19*P19</f>
        <v>28.0844928</v>
      </c>
      <c r="R19" s="3">
        <f>E19-H19-N19-Q19</f>
        <v>335.35101599999996</v>
      </c>
      <c r="S19" s="4">
        <v>8.7999999999999995E-2</v>
      </c>
      <c r="T19" s="3">
        <f>R19*S19</f>
        <v>29.510889407999993</v>
      </c>
      <c r="U19" s="3">
        <f>R19</f>
        <v>335.35101599999996</v>
      </c>
      <c r="V19" s="4">
        <v>1E-3</v>
      </c>
      <c r="W19" s="3">
        <f>U19*V19</f>
        <v>0.33535101599999995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Da Silva Reis</dc:creator>
  <cp:lastModifiedBy>Guilherme Da Silva Reis</cp:lastModifiedBy>
  <dcterms:created xsi:type="dcterms:W3CDTF">2025-12-09T19:26:20Z</dcterms:created>
  <dcterms:modified xsi:type="dcterms:W3CDTF">2025-12-09T21:04:09Z</dcterms:modified>
</cp:coreProperties>
</file>